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155"/>
  </bookViews>
  <sheets>
    <sheet name="Worksheet" sheetId="2" r:id="rId1"/>
  </sheets>
  <calcPr calcId="152511"/>
</workbook>
</file>

<file path=xl/calcChain.xml><?xml version="1.0" encoding="utf-8"?>
<calcChain xmlns="http://schemas.openxmlformats.org/spreadsheetml/2006/main">
  <c r="H51" i="2" l="1"/>
  <c r="H52" i="2" s="1"/>
  <c r="H50" i="2"/>
  <c r="J50" i="2" s="1"/>
  <c r="K50" i="2" s="1"/>
  <c r="H18" i="2"/>
  <c r="H17" i="2"/>
  <c r="J17" i="2" s="1"/>
  <c r="J51" i="2" l="1"/>
  <c r="K51" i="2" s="1"/>
  <c r="K52" i="2" s="1"/>
  <c r="K17" i="2"/>
  <c r="J18" i="2"/>
  <c r="K18" i="2" s="1"/>
  <c r="H19" i="2"/>
  <c r="J19" i="2" l="1"/>
  <c r="J52" i="2"/>
  <c r="K19" i="2"/>
</calcChain>
</file>

<file path=xl/sharedStrings.xml><?xml version="1.0" encoding="utf-8"?>
<sst xmlns="http://schemas.openxmlformats.org/spreadsheetml/2006/main" count="120" uniqueCount="53">
  <si>
    <t>Счет-фактура</t>
  </si>
  <si>
    <t>№ 467 от 05.01.2022</t>
  </si>
  <si>
    <t>к договору № 1 от 02.01.2022</t>
  </si>
  <si>
    <t>Поставщик:</t>
  </si>
  <si>
    <t>ЧАСТНОЕ ПРЕДПРИЯТИЕ "EVER COLD"</t>
  </si>
  <si>
    <t>Адрес:</t>
  </si>
  <si>
    <t>ГОРОД ТАШКЕНТ АЛМАЗАРСКИЙ РАЙОН ZIYO KO`CHASI, 3-UY</t>
  </si>
  <si>
    <t>Идентификационный номер поставщика (ИНН):</t>
  </si>
  <si>
    <t>Регистрационный код плательщика НДС:</t>
  </si>
  <si>
    <t>326090030353 (сертификат активный)</t>
  </si>
  <si>
    <t>Р/С:</t>
  </si>
  <si>
    <t>20208000100748810001 </t>
  </si>
  <si>
    <t>МФО:</t>
  </si>
  <si>
    <t>00963 </t>
  </si>
  <si>
    <t>TG:</t>
  </si>
  <si>
    <t>0.1 </t>
  </si>
  <si>
    <t>Покупатель:</t>
  </si>
  <si>
    <t>"ANGLESEY FOOD" MCHJ</t>
  </si>
  <si>
    <t>TUROB TULA KO`CHASI 57-UY</t>
  </si>
  <si>
    <t>Идентификационный номер покупателя (ИНН):</t>
  </si>
  <si>
    <t>326060002860 (сертификат активный)</t>
  </si>
  <si>
    <t>20208000900578902001 </t>
  </si>
  <si>
    <t>00431 </t>
  </si>
  <si>
    <t>0.51</t>
  </si>
  <si>
    <t>№</t>
  </si>
  <si>
    <t>Наименование товаров (услуг)</t>
  </si>
  <si>
    <t>Идентификационный код и название по Единому электронному национальному каталогу товаров (услуг)</t>
  </si>
  <si>
    <t>Штрих-код товара/услуги</t>
  </si>
  <si>
    <t>Единица измерения</t>
  </si>
  <si>
    <t>Количество</t>
  </si>
  <si>
    <t>Цена</t>
  </si>
  <si>
    <t>Стоимость</t>
  </si>
  <si>
    <t>поставки</t>
  </si>
  <si>
    <t>НДС</t>
  </si>
  <si>
    <t>Стоимость поставки</t>
  </si>
  <si>
    <t>с учетом НДС</t>
  </si>
  <si>
    <t>Ставка</t>
  </si>
  <si>
    <t>Сумма</t>
  </si>
  <si>
    <t>Лёд пищевой 3 кг</t>
  </si>
  <si>
    <t>02105001002000000 - Лёд пищевой</t>
  </si>
  <si>
    <t>штук</t>
  </si>
  <si>
    <t>Лёд пищевой 1 кг</t>
  </si>
  <si>
    <t>Итого</t>
  </si>
  <si>
    <t>Руководитель</t>
  </si>
  <si>
    <t>NASRITDINOV Z</t>
  </si>
  <si>
    <t>Главный бухгалтер:</t>
  </si>
  <si>
    <t>НЕ ПPЕДУСМОТPЕН</t>
  </si>
  <si>
    <t>М.П.: (при наличии печати)</t>
  </si>
  <si>
    <t>Товар отпустил</t>
  </si>
  <si>
    <t>Получил:</t>
  </si>
  <si>
    <t>(подпись покупателя или уполномоченного представителя)</t>
  </si>
  <si>
    <t>Доверенность:</t>
  </si>
  <si>
    <t>ФИО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</si>
</sst>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Border="1"/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0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17" xfId="0" applyFont="1" applyBorder="1" applyAlignment="1">
      <alignment horizontal="center"/>
    </xf>
    <xf numFmtId="0" fontId="18" fillId="0" borderId="11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"/>
  <sheetViews>
    <sheetView tabSelected="1" zoomScaleNormal="100" workbookViewId="0">
      <selection activeCell="M57" sqref="M57"/>
    </sheetView>
  </sheetViews>
  <sheetFormatPr defaultRowHeight="9" x14ac:dyDescent="0.15"/>
  <cols>
    <col min="1" max="1" width="4.140625" style="1" customWidth="1"/>
    <col min="2" max="2" width="12.140625" style="1" customWidth="1"/>
    <col min="3" max="3" width="20.7109375" style="1" customWidth="1"/>
    <col min="4" max="4" width="11.5703125" style="1" customWidth="1"/>
    <col min="5" max="5" width="0.28515625" style="1" hidden="1" customWidth="1"/>
    <col min="6" max="6" width="6.28515625" style="1" customWidth="1"/>
    <col min="7" max="7" width="7.140625" style="1" customWidth="1"/>
    <col min="8" max="8" width="7.5703125" style="1" customWidth="1"/>
    <col min="9" max="9" width="7.140625" style="1" customWidth="1"/>
    <col min="10" max="10" width="11.42578125" style="1" customWidth="1"/>
    <col min="11" max="11" width="10" style="1" customWidth="1"/>
    <col min="12" max="16384" width="9.140625" style="1"/>
  </cols>
  <sheetData>
    <row r="2" spans="1:11" x14ac:dyDescent="0.1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x14ac:dyDescent="0.1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1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6" spans="1:11" x14ac:dyDescent="0.15">
      <c r="A6" s="14" t="s">
        <v>3</v>
      </c>
      <c r="B6" s="15"/>
      <c r="C6" s="20" t="s">
        <v>4</v>
      </c>
      <c r="D6" s="21"/>
      <c r="E6" s="22"/>
      <c r="F6" s="14" t="s">
        <v>16</v>
      </c>
      <c r="G6" s="23"/>
      <c r="H6" s="15"/>
      <c r="I6" s="20" t="s">
        <v>17</v>
      </c>
      <c r="J6" s="21"/>
      <c r="K6" s="22"/>
    </row>
    <row r="7" spans="1:11" x14ac:dyDescent="0.15">
      <c r="A7" s="14" t="s">
        <v>5</v>
      </c>
      <c r="B7" s="15"/>
      <c r="C7" s="20" t="s">
        <v>6</v>
      </c>
      <c r="D7" s="21"/>
      <c r="E7" s="22"/>
      <c r="F7" s="14" t="s">
        <v>5</v>
      </c>
      <c r="G7" s="23"/>
      <c r="H7" s="15"/>
      <c r="I7" s="20" t="s">
        <v>18</v>
      </c>
      <c r="J7" s="21"/>
      <c r="K7" s="22"/>
    </row>
    <row r="8" spans="1:11" x14ac:dyDescent="0.15">
      <c r="A8" s="14" t="s">
        <v>7</v>
      </c>
      <c r="B8" s="15"/>
      <c r="C8" s="20">
        <v>304628242</v>
      </c>
      <c r="D8" s="21"/>
      <c r="E8" s="22"/>
      <c r="F8" s="14" t="s">
        <v>19</v>
      </c>
      <c r="G8" s="23"/>
      <c r="H8" s="15"/>
      <c r="I8" s="20">
        <v>202099756</v>
      </c>
      <c r="J8" s="21"/>
      <c r="K8" s="22"/>
    </row>
    <row r="9" spans="1:11" x14ac:dyDescent="0.15">
      <c r="A9" s="14" t="s">
        <v>8</v>
      </c>
      <c r="B9" s="15"/>
      <c r="C9" s="20" t="s">
        <v>9</v>
      </c>
      <c r="D9" s="21"/>
      <c r="E9" s="22"/>
      <c r="F9" s="14" t="s">
        <v>8</v>
      </c>
      <c r="G9" s="23"/>
      <c r="H9" s="15"/>
      <c r="I9" s="20" t="s">
        <v>20</v>
      </c>
      <c r="J9" s="21"/>
      <c r="K9" s="22"/>
    </row>
    <row r="10" spans="1:11" x14ac:dyDescent="0.15">
      <c r="A10" s="14" t="s">
        <v>10</v>
      </c>
      <c r="B10" s="15"/>
      <c r="C10" s="20" t="s">
        <v>11</v>
      </c>
      <c r="D10" s="21"/>
      <c r="E10" s="22"/>
      <c r="F10" s="14" t="s">
        <v>10</v>
      </c>
      <c r="G10" s="23"/>
      <c r="H10" s="15"/>
      <c r="I10" s="20" t="s">
        <v>21</v>
      </c>
      <c r="J10" s="21"/>
      <c r="K10" s="22"/>
    </row>
    <row r="11" spans="1:11" x14ac:dyDescent="0.15">
      <c r="A11" s="14" t="s">
        <v>12</v>
      </c>
      <c r="B11" s="15"/>
      <c r="C11" s="20" t="s">
        <v>13</v>
      </c>
      <c r="D11" s="21"/>
      <c r="E11" s="22"/>
      <c r="F11" s="14" t="s">
        <v>12</v>
      </c>
      <c r="G11" s="23"/>
      <c r="H11" s="15"/>
      <c r="I11" s="20" t="s">
        <v>22</v>
      </c>
      <c r="J11" s="21"/>
      <c r="K11" s="22"/>
    </row>
    <row r="12" spans="1:11" x14ac:dyDescent="0.15">
      <c r="A12" s="14" t="s">
        <v>14</v>
      </c>
      <c r="B12" s="15"/>
      <c r="C12" s="20" t="s">
        <v>15</v>
      </c>
      <c r="D12" s="21"/>
      <c r="E12" s="22"/>
      <c r="F12" s="14" t="s">
        <v>14</v>
      </c>
      <c r="G12" s="23"/>
      <c r="H12" s="15"/>
      <c r="I12" s="20" t="s">
        <v>23</v>
      </c>
      <c r="J12" s="21"/>
      <c r="K12" s="22"/>
    </row>
    <row r="14" spans="1:11" ht="23.25" customHeight="1" x14ac:dyDescent="0.15">
      <c r="A14" s="24" t="s">
        <v>24</v>
      </c>
      <c r="B14" s="24" t="s">
        <v>25</v>
      </c>
      <c r="C14" s="24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" t="s">
        <v>31</v>
      </c>
      <c r="I14" s="26" t="s">
        <v>33</v>
      </c>
      <c r="J14" s="27"/>
      <c r="K14" s="2" t="s">
        <v>34</v>
      </c>
    </row>
    <row r="15" spans="1:11" x14ac:dyDescent="0.15">
      <c r="A15" s="25"/>
      <c r="B15" s="25"/>
      <c r="C15" s="25"/>
      <c r="D15" s="25"/>
      <c r="E15" s="25"/>
      <c r="F15" s="25"/>
      <c r="G15" s="25"/>
      <c r="H15" s="3" t="s">
        <v>32</v>
      </c>
      <c r="I15" s="4" t="s">
        <v>36</v>
      </c>
      <c r="J15" s="4" t="s">
        <v>37</v>
      </c>
      <c r="K15" s="3" t="s">
        <v>35</v>
      </c>
    </row>
    <row r="16" spans="1:11" x14ac:dyDescent="0.15">
      <c r="A16" s="5"/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5">
        <v>6</v>
      </c>
      <c r="H16" s="5">
        <v>7</v>
      </c>
      <c r="I16" s="5">
        <v>8</v>
      </c>
      <c r="J16" s="5">
        <v>9</v>
      </c>
      <c r="K16" s="5">
        <v>10</v>
      </c>
    </row>
    <row r="17" spans="1:11" ht="17.25" customHeight="1" x14ac:dyDescent="0.15">
      <c r="A17" s="5">
        <v>1</v>
      </c>
      <c r="B17" s="5" t="s">
        <v>38</v>
      </c>
      <c r="C17" s="5" t="s">
        <v>39</v>
      </c>
      <c r="D17" s="6">
        <v>4780053810028</v>
      </c>
      <c r="E17" s="5" t="s">
        <v>40</v>
      </c>
      <c r="F17" s="5">
        <v>25</v>
      </c>
      <c r="G17" s="5">
        <v>9173.92</v>
      </c>
      <c r="H17" s="5">
        <f>F17*G17</f>
        <v>229348</v>
      </c>
      <c r="I17" s="7">
        <v>0.15</v>
      </c>
      <c r="J17" s="5">
        <f>H17/100*15</f>
        <v>34402.199999999997</v>
      </c>
      <c r="K17" s="5">
        <f>H17+J17</f>
        <v>263750.2</v>
      </c>
    </row>
    <row r="18" spans="1:11" ht="17.25" customHeight="1" x14ac:dyDescent="0.15">
      <c r="A18" s="5">
        <v>2</v>
      </c>
      <c r="B18" s="5" t="s">
        <v>41</v>
      </c>
      <c r="C18" s="5" t="s">
        <v>39</v>
      </c>
      <c r="D18" s="6">
        <v>4780053810011</v>
      </c>
      <c r="E18" s="5" t="s">
        <v>40</v>
      </c>
      <c r="F18" s="5">
        <v>25</v>
      </c>
      <c r="G18" s="5">
        <v>3478.27</v>
      </c>
      <c r="H18" s="5">
        <f>F18*G18</f>
        <v>86956.75</v>
      </c>
      <c r="I18" s="7">
        <v>0.15</v>
      </c>
      <c r="J18" s="29">
        <f>H18/100*15</f>
        <v>13043.512500000001</v>
      </c>
      <c r="K18" s="29">
        <f>H18+J18</f>
        <v>100000.2625</v>
      </c>
    </row>
    <row r="19" spans="1:11" x14ac:dyDescent="0.15">
      <c r="A19" s="14" t="s">
        <v>42</v>
      </c>
      <c r="B19" s="15"/>
      <c r="C19" s="5"/>
      <c r="D19" s="5"/>
      <c r="E19" s="5"/>
      <c r="F19" s="5"/>
      <c r="G19" s="5"/>
      <c r="H19" s="5">
        <f>SUM(H17:H18)</f>
        <v>316304.75</v>
      </c>
      <c r="I19" s="5"/>
      <c r="J19" s="5">
        <f t="shared" ref="J19" si="0">SUM(J17:J18)</f>
        <v>47445.712499999994</v>
      </c>
      <c r="K19" s="5">
        <f>SUM(K17:K18)</f>
        <v>363750.46250000002</v>
      </c>
    </row>
    <row r="22" spans="1:11" ht="9.75" thickBot="1" x14ac:dyDescent="0.2">
      <c r="A22" s="17" t="s">
        <v>43</v>
      </c>
      <c r="B22" s="17"/>
      <c r="C22" s="8"/>
      <c r="D22" s="9" t="s">
        <v>44</v>
      </c>
    </row>
    <row r="23" spans="1:11" x14ac:dyDescent="0.15">
      <c r="G23" s="10"/>
      <c r="H23" s="11"/>
      <c r="I23" s="11"/>
      <c r="J23" s="11"/>
      <c r="K23" s="11"/>
    </row>
    <row r="24" spans="1:11" ht="24.75" customHeight="1" thickBot="1" x14ac:dyDescent="0.2">
      <c r="A24" s="17" t="s">
        <v>45</v>
      </c>
      <c r="B24" s="17"/>
      <c r="C24" s="8"/>
      <c r="D24" s="9" t="s">
        <v>46</v>
      </c>
      <c r="F24" s="17" t="s">
        <v>49</v>
      </c>
      <c r="G24" s="17"/>
      <c r="H24" s="18" t="s">
        <v>50</v>
      </c>
      <c r="I24" s="18"/>
      <c r="J24" s="18"/>
      <c r="K24" s="18"/>
    </row>
    <row r="26" spans="1:11" ht="24.75" customHeight="1" x14ac:dyDescent="0.15">
      <c r="A26" s="17" t="s">
        <v>47</v>
      </c>
      <c r="B26" s="17"/>
      <c r="F26" s="17" t="s">
        <v>51</v>
      </c>
      <c r="G26" s="17"/>
      <c r="H26" s="19"/>
      <c r="I26" s="19"/>
      <c r="J26" s="19"/>
      <c r="K26" s="19"/>
    </row>
    <row r="28" spans="1:11" ht="12.75" customHeight="1" thickBot="1" x14ac:dyDescent="0.2">
      <c r="B28" s="12" t="s">
        <v>48</v>
      </c>
      <c r="C28" s="8"/>
      <c r="F28" s="16"/>
      <c r="G28" s="16"/>
      <c r="H28" s="19"/>
      <c r="I28" s="19"/>
      <c r="J28" s="19"/>
      <c r="K28" s="19"/>
    </row>
    <row r="29" spans="1:11" x14ac:dyDescent="0.15">
      <c r="F29" s="13"/>
      <c r="G29" s="13"/>
      <c r="H29" s="16" t="s">
        <v>52</v>
      </c>
      <c r="I29" s="16"/>
      <c r="J29" s="16"/>
      <c r="K29" s="16"/>
    </row>
    <row r="35" spans="1:11" x14ac:dyDescent="0.15">
      <c r="A35" s="28" t="s">
        <v>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x14ac:dyDescent="0.15">
      <c r="A36" s="28" t="s">
        <v>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x14ac:dyDescent="0.15">
      <c r="A37" s="28" t="s">
        <v>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9" spans="1:11" x14ac:dyDescent="0.15">
      <c r="A39" s="14" t="s">
        <v>3</v>
      </c>
      <c r="B39" s="15"/>
      <c r="C39" s="20" t="s">
        <v>4</v>
      </c>
      <c r="D39" s="21"/>
      <c r="E39" s="22"/>
      <c r="F39" s="14" t="s">
        <v>16</v>
      </c>
      <c r="G39" s="23"/>
      <c r="H39" s="15"/>
      <c r="I39" s="20" t="s">
        <v>17</v>
      </c>
      <c r="J39" s="21"/>
      <c r="K39" s="22"/>
    </row>
    <row r="40" spans="1:11" x14ac:dyDescent="0.15">
      <c r="A40" s="14" t="s">
        <v>5</v>
      </c>
      <c r="B40" s="15"/>
      <c r="C40" s="20" t="s">
        <v>6</v>
      </c>
      <c r="D40" s="21"/>
      <c r="E40" s="22"/>
      <c r="F40" s="14" t="s">
        <v>5</v>
      </c>
      <c r="G40" s="23"/>
      <c r="H40" s="15"/>
      <c r="I40" s="20" t="s">
        <v>18</v>
      </c>
      <c r="J40" s="21"/>
      <c r="K40" s="22"/>
    </row>
    <row r="41" spans="1:11" x14ac:dyDescent="0.15">
      <c r="A41" s="14" t="s">
        <v>7</v>
      </c>
      <c r="B41" s="15"/>
      <c r="C41" s="20">
        <v>304628242</v>
      </c>
      <c r="D41" s="21"/>
      <c r="E41" s="22"/>
      <c r="F41" s="14" t="s">
        <v>19</v>
      </c>
      <c r="G41" s="23"/>
      <c r="H41" s="15"/>
      <c r="I41" s="20">
        <v>202099756</v>
      </c>
      <c r="J41" s="21"/>
      <c r="K41" s="22"/>
    </row>
    <row r="42" spans="1:11" x14ac:dyDescent="0.15">
      <c r="A42" s="14" t="s">
        <v>8</v>
      </c>
      <c r="B42" s="15"/>
      <c r="C42" s="20" t="s">
        <v>9</v>
      </c>
      <c r="D42" s="21"/>
      <c r="E42" s="22"/>
      <c r="F42" s="14" t="s">
        <v>8</v>
      </c>
      <c r="G42" s="23"/>
      <c r="H42" s="15"/>
      <c r="I42" s="20" t="s">
        <v>20</v>
      </c>
      <c r="J42" s="21"/>
      <c r="K42" s="22"/>
    </row>
    <row r="43" spans="1:11" x14ac:dyDescent="0.15">
      <c r="A43" s="14" t="s">
        <v>10</v>
      </c>
      <c r="B43" s="15"/>
      <c r="C43" s="20" t="s">
        <v>11</v>
      </c>
      <c r="D43" s="21"/>
      <c r="E43" s="22"/>
      <c r="F43" s="14" t="s">
        <v>10</v>
      </c>
      <c r="G43" s="23"/>
      <c r="H43" s="15"/>
      <c r="I43" s="20" t="s">
        <v>21</v>
      </c>
      <c r="J43" s="21"/>
      <c r="K43" s="22"/>
    </row>
    <row r="44" spans="1:11" x14ac:dyDescent="0.15">
      <c r="A44" s="14" t="s">
        <v>12</v>
      </c>
      <c r="B44" s="15"/>
      <c r="C44" s="20" t="s">
        <v>13</v>
      </c>
      <c r="D44" s="21"/>
      <c r="E44" s="22"/>
      <c r="F44" s="14" t="s">
        <v>12</v>
      </c>
      <c r="G44" s="23"/>
      <c r="H44" s="15"/>
      <c r="I44" s="20" t="s">
        <v>22</v>
      </c>
      <c r="J44" s="21"/>
      <c r="K44" s="22"/>
    </row>
    <row r="45" spans="1:11" x14ac:dyDescent="0.15">
      <c r="A45" s="14" t="s">
        <v>14</v>
      </c>
      <c r="B45" s="15"/>
      <c r="C45" s="20" t="s">
        <v>15</v>
      </c>
      <c r="D45" s="21"/>
      <c r="E45" s="22"/>
      <c r="F45" s="14" t="s">
        <v>14</v>
      </c>
      <c r="G45" s="23"/>
      <c r="H45" s="15"/>
      <c r="I45" s="20" t="s">
        <v>23</v>
      </c>
      <c r="J45" s="21"/>
      <c r="K45" s="22"/>
    </row>
    <row r="47" spans="1:11" ht="18" x14ac:dyDescent="0.15">
      <c r="A47" s="24" t="s">
        <v>24</v>
      </c>
      <c r="B47" s="24" t="s">
        <v>25</v>
      </c>
      <c r="C47" s="24" t="s">
        <v>26</v>
      </c>
      <c r="D47" s="24" t="s">
        <v>27</v>
      </c>
      <c r="E47" s="24" t="s">
        <v>28</v>
      </c>
      <c r="F47" s="24" t="s">
        <v>29</v>
      </c>
      <c r="G47" s="24" t="s">
        <v>30</v>
      </c>
      <c r="H47" s="2" t="s">
        <v>31</v>
      </c>
      <c r="I47" s="26" t="s">
        <v>33</v>
      </c>
      <c r="J47" s="27"/>
      <c r="K47" s="2" t="s">
        <v>34</v>
      </c>
    </row>
    <row r="48" spans="1:11" x14ac:dyDescent="0.15">
      <c r="A48" s="25"/>
      <c r="B48" s="25"/>
      <c r="C48" s="25"/>
      <c r="D48" s="25"/>
      <c r="E48" s="25"/>
      <c r="F48" s="25"/>
      <c r="G48" s="25"/>
      <c r="H48" s="3" t="s">
        <v>32</v>
      </c>
      <c r="I48" s="4" t="s">
        <v>36</v>
      </c>
      <c r="J48" s="4" t="s">
        <v>37</v>
      </c>
      <c r="K48" s="3" t="s">
        <v>35</v>
      </c>
    </row>
    <row r="49" spans="1:11" x14ac:dyDescent="0.15">
      <c r="A49" s="5"/>
      <c r="B49" s="5">
        <v>1</v>
      </c>
      <c r="C49" s="5">
        <v>2</v>
      </c>
      <c r="D49" s="5">
        <v>3</v>
      </c>
      <c r="E49" s="5">
        <v>4</v>
      </c>
      <c r="F49" s="5">
        <v>5</v>
      </c>
      <c r="G49" s="5">
        <v>6</v>
      </c>
      <c r="H49" s="5">
        <v>7</v>
      </c>
      <c r="I49" s="5">
        <v>8</v>
      </c>
      <c r="J49" s="5">
        <v>9</v>
      </c>
      <c r="K49" s="5">
        <v>10</v>
      </c>
    </row>
    <row r="50" spans="1:11" ht="36" x14ac:dyDescent="0.15">
      <c r="A50" s="5">
        <v>1</v>
      </c>
      <c r="B50" s="5" t="s">
        <v>38</v>
      </c>
      <c r="C50" s="5" t="s">
        <v>39</v>
      </c>
      <c r="D50" s="6">
        <v>4780053810028</v>
      </c>
      <c r="E50" s="5" t="s">
        <v>40</v>
      </c>
      <c r="F50" s="5">
        <v>25</v>
      </c>
      <c r="G50" s="5">
        <v>9173.92</v>
      </c>
      <c r="H50" s="5">
        <f>F50*G50</f>
        <v>229348</v>
      </c>
      <c r="I50" s="7">
        <v>0.15</v>
      </c>
      <c r="J50" s="5">
        <f>H50/100*15</f>
        <v>34402.199999999997</v>
      </c>
      <c r="K50" s="5">
        <f>H50+J50</f>
        <v>263750.2</v>
      </c>
    </row>
    <row r="51" spans="1:11" ht="36" x14ac:dyDescent="0.15">
      <c r="A51" s="5">
        <v>2</v>
      </c>
      <c r="B51" s="5" t="s">
        <v>41</v>
      </c>
      <c r="C51" s="5" t="s">
        <v>39</v>
      </c>
      <c r="D51" s="6">
        <v>4780053810011</v>
      </c>
      <c r="E51" s="5" t="s">
        <v>40</v>
      </c>
      <c r="F51" s="5">
        <v>25</v>
      </c>
      <c r="G51" s="5">
        <v>3478.27</v>
      </c>
      <c r="H51" s="5">
        <f>F51*G51</f>
        <v>86956.75</v>
      </c>
      <c r="I51" s="7">
        <v>0.15</v>
      </c>
      <c r="J51" s="29">
        <f>H51/100*15</f>
        <v>13043.512500000001</v>
      </c>
      <c r="K51" s="29">
        <f>H51+J51</f>
        <v>100000.2625</v>
      </c>
    </row>
    <row r="52" spans="1:11" x14ac:dyDescent="0.15">
      <c r="A52" s="14" t="s">
        <v>42</v>
      </c>
      <c r="B52" s="15"/>
      <c r="C52" s="5"/>
      <c r="D52" s="5"/>
      <c r="E52" s="5"/>
      <c r="F52" s="5"/>
      <c r="G52" s="5"/>
      <c r="H52" s="5">
        <f>SUM(H50:H51)</f>
        <v>316304.75</v>
      </c>
      <c r="I52" s="5"/>
      <c r="J52" s="5">
        <f t="shared" ref="J52" si="1">SUM(J50:J51)</f>
        <v>47445.712499999994</v>
      </c>
      <c r="K52" s="29">
        <f>SUM(K50:K51)</f>
        <v>363750.46250000002</v>
      </c>
    </row>
    <row r="53" spans="1:11" ht="11.25" customHeight="1" x14ac:dyDescent="0.15"/>
    <row r="55" spans="1:11" ht="9.75" thickBot="1" x14ac:dyDescent="0.2">
      <c r="A55" s="17" t="s">
        <v>43</v>
      </c>
      <c r="B55" s="17"/>
      <c r="C55" s="8"/>
      <c r="D55" s="9" t="s">
        <v>44</v>
      </c>
    </row>
    <row r="56" spans="1:11" x14ac:dyDescent="0.15">
      <c r="G56" s="10"/>
      <c r="H56" s="11"/>
      <c r="I56" s="11"/>
      <c r="J56" s="11"/>
      <c r="K56" s="11"/>
    </row>
    <row r="57" spans="1:11" ht="18.75" thickBot="1" x14ac:dyDescent="0.2">
      <c r="A57" s="17" t="s">
        <v>45</v>
      </c>
      <c r="B57" s="17"/>
      <c r="C57" s="8"/>
      <c r="D57" s="9" t="s">
        <v>46</v>
      </c>
      <c r="F57" s="17" t="s">
        <v>49</v>
      </c>
      <c r="G57" s="17"/>
      <c r="H57" s="18" t="s">
        <v>50</v>
      </c>
      <c r="I57" s="18"/>
      <c r="J57" s="18"/>
      <c r="K57" s="18"/>
    </row>
    <row r="59" spans="1:11" x14ac:dyDescent="0.15">
      <c r="A59" s="17" t="s">
        <v>47</v>
      </c>
      <c r="B59" s="17"/>
      <c r="F59" s="17" t="s">
        <v>51</v>
      </c>
      <c r="G59" s="17"/>
      <c r="H59" s="19"/>
      <c r="I59" s="19"/>
      <c r="J59" s="19"/>
      <c r="K59" s="19"/>
    </row>
    <row r="61" spans="1:11" ht="9.75" thickBot="1" x14ac:dyDescent="0.2">
      <c r="B61" s="12" t="s">
        <v>48</v>
      </c>
      <c r="C61" s="8"/>
      <c r="F61" s="16"/>
      <c r="G61" s="16"/>
      <c r="H61" s="19"/>
      <c r="I61" s="19"/>
      <c r="J61" s="19"/>
      <c r="K61" s="19"/>
    </row>
    <row r="62" spans="1:11" x14ac:dyDescent="0.15">
      <c r="F62" s="13"/>
      <c r="G62" s="13"/>
      <c r="H62" s="16" t="s">
        <v>52</v>
      </c>
      <c r="I62" s="16"/>
      <c r="J62" s="16"/>
      <c r="K62" s="16"/>
    </row>
  </sheetData>
  <mergeCells count="100">
    <mergeCell ref="F61:G61"/>
    <mergeCell ref="H61:K61"/>
    <mergeCell ref="H62:K62"/>
    <mergeCell ref="A55:B55"/>
    <mergeCell ref="A57:B57"/>
    <mergeCell ref="F57:G57"/>
    <mergeCell ref="H57:K57"/>
    <mergeCell ref="A59:B59"/>
    <mergeCell ref="F59:G59"/>
    <mergeCell ref="H59:K59"/>
    <mergeCell ref="F47:F48"/>
    <mergeCell ref="G47:G48"/>
    <mergeCell ref="I47:J47"/>
    <mergeCell ref="A52:B52"/>
    <mergeCell ref="A47:A48"/>
    <mergeCell ref="B47:B48"/>
    <mergeCell ref="C47:C48"/>
    <mergeCell ref="D47:D48"/>
    <mergeCell ref="E47:E48"/>
    <mergeCell ref="A44:B44"/>
    <mergeCell ref="C44:E44"/>
    <mergeCell ref="F44:H44"/>
    <mergeCell ref="I44:K44"/>
    <mergeCell ref="A45:B45"/>
    <mergeCell ref="C45:E45"/>
    <mergeCell ref="F45:H45"/>
    <mergeCell ref="I45:K45"/>
    <mergeCell ref="A42:B42"/>
    <mergeCell ref="C42:E42"/>
    <mergeCell ref="F42:H42"/>
    <mergeCell ref="I42:K42"/>
    <mergeCell ref="A43:B43"/>
    <mergeCell ref="C43:E43"/>
    <mergeCell ref="F43:H43"/>
    <mergeCell ref="I43:K43"/>
    <mergeCell ref="A40:B40"/>
    <mergeCell ref="C40:E40"/>
    <mergeCell ref="F40:H40"/>
    <mergeCell ref="I40:K40"/>
    <mergeCell ref="A41:B41"/>
    <mergeCell ref="C41:E41"/>
    <mergeCell ref="F41:H41"/>
    <mergeCell ref="I41:K41"/>
    <mergeCell ref="A35:K35"/>
    <mergeCell ref="A36:K36"/>
    <mergeCell ref="A37:K37"/>
    <mergeCell ref="A39:B39"/>
    <mergeCell ref="C39:E39"/>
    <mergeCell ref="F39:H39"/>
    <mergeCell ref="I39:K39"/>
    <mergeCell ref="A2:K2"/>
    <mergeCell ref="A3:K3"/>
    <mergeCell ref="A4:K4"/>
    <mergeCell ref="A6:B6"/>
    <mergeCell ref="C6:E6"/>
    <mergeCell ref="I6:K6"/>
    <mergeCell ref="F7:H7"/>
    <mergeCell ref="I7:K7"/>
    <mergeCell ref="F8:H8"/>
    <mergeCell ref="I8:K8"/>
    <mergeCell ref="F6:H6"/>
    <mergeCell ref="A8:B8"/>
    <mergeCell ref="C8:E8"/>
    <mergeCell ref="A9:B9"/>
    <mergeCell ref="C9:E9"/>
    <mergeCell ref="A10:B10"/>
    <mergeCell ref="C10:E10"/>
    <mergeCell ref="A7:B7"/>
    <mergeCell ref="C7:E7"/>
    <mergeCell ref="F9:H9"/>
    <mergeCell ref="I9:K9"/>
    <mergeCell ref="F10:H10"/>
    <mergeCell ref="I10:K10"/>
    <mergeCell ref="F11:H11"/>
    <mergeCell ref="I11:K11"/>
    <mergeCell ref="F12:H12"/>
    <mergeCell ref="I12:K12"/>
    <mergeCell ref="A14:A15"/>
    <mergeCell ref="B14:B15"/>
    <mergeCell ref="C14:C15"/>
    <mergeCell ref="D14:D15"/>
    <mergeCell ref="E14:E15"/>
    <mergeCell ref="F14:F15"/>
    <mergeCell ref="G14:G15"/>
    <mergeCell ref="I14:J14"/>
    <mergeCell ref="A11:B11"/>
    <mergeCell ref="C11:E11"/>
    <mergeCell ref="A12:B12"/>
    <mergeCell ref="C12:E12"/>
    <mergeCell ref="A19:B19"/>
    <mergeCell ref="F28:G28"/>
    <mergeCell ref="F26:G26"/>
    <mergeCell ref="H24:K24"/>
    <mergeCell ref="F24:G24"/>
    <mergeCell ref="H26:K26"/>
    <mergeCell ref="H29:K29"/>
    <mergeCell ref="H28:K28"/>
    <mergeCell ref="A22:B22"/>
    <mergeCell ref="A24:B24"/>
    <mergeCell ref="A26:B26"/>
  </mergeCells>
  <pageMargins left="0" right="0" top="0" bottom="0" header="0.51181102362204722" footer="0.5118110236220472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2022-01-05T03:55:32Z</cp:lastPrinted>
  <dcterms:created xsi:type="dcterms:W3CDTF">2022-01-05T03:54:13Z</dcterms:created>
  <dcterms:modified xsi:type="dcterms:W3CDTF">2022-01-05T09:05:12Z</dcterms:modified>
</cp:coreProperties>
</file>